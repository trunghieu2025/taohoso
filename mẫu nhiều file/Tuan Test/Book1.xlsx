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92" yWindow="123" windowWidth="22449" windowHeight="8258"/>
  </bookViews>
  <sheets>
    <sheet name="tbl_LCNT" sheetId="1" r:id="rId1"/>
  </sheets>
  <definedNames>
    <definedName name="TaskPane_Setting" comment="Off">TRUE</definedName>
  </definedNames>
  <calcPr calcId="145621"/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  <c r="F3" i="1"/>
  <c r="F2" i="1"/>
  <c r="A5" i="1"/>
  <c r="F13" i="1"/>
  <c r="A14" i="1" s="1"/>
  <c r="A6" i="1" l="1"/>
  <c r="A7" i="1"/>
  <c r="A8" i="1"/>
  <c r="A9" i="1"/>
  <c r="A10" i="1"/>
  <c r="A11" i="1" l="1"/>
  <c r="A12" i="1"/>
</calcChain>
</file>

<file path=xl/sharedStrings.xml><?xml version="1.0" encoding="utf-8"?>
<sst xmlns="http://schemas.openxmlformats.org/spreadsheetml/2006/main" count="29" uniqueCount="25">
  <si>
    <t>STT</t>
  </si>
  <si>
    <t>Danh_muc_hang_hoa</t>
  </si>
  <si>
    <t>DVT</t>
  </si>
  <si>
    <t>So_luong</t>
  </si>
  <si>
    <t>Don_gia</t>
  </si>
  <si>
    <t>Thanh_tien</t>
  </si>
  <si>
    <t>Đề can đỏ Sinh Lung</t>
  </si>
  <si>
    <t>M2</t>
  </si>
  <si>
    <t>Giá treo Inoox 1,5x1,2m</t>
  </si>
  <si>
    <t>Cái</t>
  </si>
  <si>
    <t>Bút chì bấm Pentenl 0,5mm</t>
  </si>
  <si>
    <t>Cây</t>
  </si>
  <si>
    <t>Phấn không bụi Mic 206 DC-M02</t>
  </si>
  <si>
    <t>Hộp</t>
  </si>
  <si>
    <t>Bìa trình ký Data King A4</t>
  </si>
  <si>
    <t>Nước uống Lavie - 500 ml</t>
  </si>
  <si>
    <t>Thùng</t>
  </si>
  <si>
    <t>Lẫng hoa để bàn đại biểu</t>
  </si>
  <si>
    <t>Cặp da Boss-NA698</t>
  </si>
  <si>
    <t>Sổ bìa cứng A4 Drad BV3</t>
  </si>
  <si>
    <t>Quyển</t>
  </si>
  <si>
    <t>Bút bi Liquid Gel ink 0,7</t>
  </si>
  <si>
    <t>Thước kẻ Thiên Long 30 cm</t>
  </si>
  <si>
    <t>Chiếc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</si>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</sst>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2" xfId="1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3" fontId="3" fillId="0" borderId="3" xfId="0" applyNumberFormat="1" applyFont="1" applyBorder="1" applyAlignment="1">
      <alignment horizontal="left" vertical="center"/>
    </xf>
    <xf numFmtId="3" fontId="3" fillId="0" borderId="3" xfId="0" applyNumberFormat="1" applyFont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/>
    </xf>
    <xf numFmtId="3" fontId="3" fillId="2" borderId="3" xfId="0" applyNumberFormat="1" applyFont="1" applyFill="1" applyBorder="1" applyAlignment="1">
      <alignment horizontal="left" vertical="center"/>
    </xf>
    <xf numFmtId="3" fontId="3" fillId="2" borderId="3" xfId="0" applyNumberFormat="1" applyFont="1" applyFill="1" applyBorder="1" applyAlignment="1">
      <alignment horizontal="right" vertical="center"/>
    </xf>
    <xf numFmtId="0" fontId="0" fillId="0" borderId="0" xfId="0" applyAlignment="1">
      <alignment vertical="top" wrapText="1"/>
    </xf>
    <xf numFmtId="3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B19" sqref="B19"/>
    </sheetView>
  </sheetViews>
  <sheetFormatPr defaultColWidth="8.796875" defaultRowHeight="16" x14ac:dyDescent="0.3"/>
  <cols>
    <col min="1" max="1" width="5.69921875" customWidth="1"/>
    <col min="2" max="2" width="33.3984375" style="5" customWidth="1"/>
    <col min="3" max="3" width="7.09765625" style="5" bestFit="1" customWidth="1"/>
    <col min="4" max="4" width="10.19921875" style="5" bestFit="1" customWidth="1"/>
    <col min="5" max="5" width="10" style="5" customWidth="1"/>
    <col min="6" max="6" width="12.19921875" style="5" bestFit="1" customWidth="1"/>
    <col min="7" max="16384" width="8.796875" style="5"/>
  </cols>
  <sheetData>
    <row r="1" spans="1:9" ht="22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9" ht="18.8" customHeight="1" x14ac:dyDescent="0.3">
      <c r="A2" s="6">
        <v>1</v>
      </c>
      <c r="B2" s="7" t="s">
        <v>6</v>
      </c>
      <c r="C2" s="8" t="s">
        <v>7</v>
      </c>
      <c r="D2" s="9">
        <v>5</v>
      </c>
      <c r="E2" s="9">
        <v>35000</v>
      </c>
      <c r="F2" s="10">
        <f>D2*E2</f>
        <v>175000</v>
      </c>
    </row>
    <row r="3" spans="1:9" ht="18.8" customHeight="1" x14ac:dyDescent="0.3">
      <c r="A3" s="11">
        <v>2</v>
      </c>
      <c r="B3" s="12" t="s">
        <v>8</v>
      </c>
      <c r="C3" s="13" t="s">
        <v>9</v>
      </c>
      <c r="D3" s="14">
        <v>5</v>
      </c>
      <c r="E3" s="14">
        <v>516000</v>
      </c>
      <c r="F3" s="10">
        <f t="shared" ref="F3:F12" si="0">D3*E3</f>
        <v>2580000</v>
      </c>
    </row>
    <row r="4" spans="1:9" ht="18.8" customHeight="1" x14ac:dyDescent="0.3">
      <c r="A4" s="15">
        <v>3</v>
      </c>
      <c r="B4" s="16" t="s">
        <v>10</v>
      </c>
      <c r="C4" s="17" t="s">
        <v>11</v>
      </c>
      <c r="D4" s="18">
        <v>5</v>
      </c>
      <c r="E4" s="18">
        <v>15000</v>
      </c>
      <c r="F4" s="10">
        <f t="shared" si="0"/>
        <v>75000</v>
      </c>
    </row>
    <row r="5" spans="1:9" ht="18.8" customHeight="1" x14ac:dyDescent="0.3">
      <c r="A5" s="11">
        <f>_xlfn.AGGREGATE(4,7,A$4:A4)+1</f>
        <v>4</v>
      </c>
      <c r="B5" s="12" t="s">
        <v>12</v>
      </c>
      <c r="C5" s="13" t="s">
        <v>13</v>
      </c>
      <c r="D5" s="14">
        <v>5</v>
      </c>
      <c r="E5" s="14">
        <v>42000</v>
      </c>
      <c r="F5" s="10">
        <f t="shared" si="0"/>
        <v>210000</v>
      </c>
    </row>
    <row r="6" spans="1:9" ht="18.8" customHeight="1" x14ac:dyDescent="0.3">
      <c r="A6" s="15">
        <f>_xlfn.AGGREGATE(4,7,A$4:A5)+1</f>
        <v>5</v>
      </c>
      <c r="B6" s="16" t="s">
        <v>14</v>
      </c>
      <c r="C6" s="17" t="s">
        <v>9</v>
      </c>
      <c r="D6" s="18">
        <v>5</v>
      </c>
      <c r="E6" s="18">
        <v>336000</v>
      </c>
      <c r="F6" s="10">
        <f t="shared" si="0"/>
        <v>1680000</v>
      </c>
    </row>
    <row r="7" spans="1:9" ht="18.8" customHeight="1" x14ac:dyDescent="0.3">
      <c r="A7" s="11">
        <f>_xlfn.AGGREGATE(4,7,A$4:A6)+1</f>
        <v>6</v>
      </c>
      <c r="B7" s="12" t="s">
        <v>15</v>
      </c>
      <c r="C7" s="13" t="s">
        <v>16</v>
      </c>
      <c r="D7" s="14">
        <v>5</v>
      </c>
      <c r="E7" s="14">
        <v>95500</v>
      </c>
      <c r="F7" s="10">
        <f t="shared" si="0"/>
        <v>477500</v>
      </c>
    </row>
    <row r="8" spans="1:9" ht="18.8" customHeight="1" x14ac:dyDescent="0.3">
      <c r="A8" s="15">
        <f>_xlfn.AGGREGATE(4,7,A$4:A7)+1</f>
        <v>7</v>
      </c>
      <c r="B8" s="16" t="s">
        <v>17</v>
      </c>
      <c r="C8" s="17" t="s">
        <v>9</v>
      </c>
      <c r="D8" s="18">
        <v>5</v>
      </c>
      <c r="E8" s="18">
        <v>175000</v>
      </c>
      <c r="F8" s="10">
        <f t="shared" si="0"/>
        <v>875000</v>
      </c>
    </row>
    <row r="9" spans="1:9" ht="18.8" customHeight="1" x14ac:dyDescent="0.3">
      <c r="A9" s="11">
        <f>_xlfn.AGGREGATE(4,7,A$4:A8)+1</f>
        <v>8</v>
      </c>
      <c r="B9" s="12" t="s">
        <v>18</v>
      </c>
      <c r="C9" s="13" t="s">
        <v>9</v>
      </c>
      <c r="D9" s="14">
        <v>5</v>
      </c>
      <c r="E9" s="14">
        <v>260000</v>
      </c>
      <c r="F9" s="10">
        <f t="shared" si="0"/>
        <v>1300000</v>
      </c>
    </row>
    <row r="10" spans="1:9" ht="18.8" customHeight="1" x14ac:dyDescent="0.3">
      <c r="A10" s="15">
        <f>_xlfn.AGGREGATE(4,7,A$4:A9)+1</f>
        <v>9</v>
      </c>
      <c r="B10" s="16" t="s">
        <v>19</v>
      </c>
      <c r="C10" s="17" t="s">
        <v>20</v>
      </c>
      <c r="D10" s="18">
        <v>5</v>
      </c>
      <c r="E10" s="18">
        <v>65000</v>
      </c>
      <c r="F10" s="10">
        <f t="shared" si="0"/>
        <v>325000</v>
      </c>
    </row>
    <row r="11" spans="1:9" ht="18.8" customHeight="1" x14ac:dyDescent="0.3">
      <c r="A11" s="11">
        <f>_xlfn.AGGREGATE(4,7,A$4:A10)+1</f>
        <v>10</v>
      </c>
      <c r="B11" s="12" t="s">
        <v>21</v>
      </c>
      <c r="C11" s="13" t="s">
        <v>9</v>
      </c>
      <c r="D11" s="14">
        <v>5</v>
      </c>
      <c r="E11" s="14">
        <v>46000</v>
      </c>
      <c r="F11" s="10">
        <f t="shared" si="0"/>
        <v>230000</v>
      </c>
      <c r="I11" s="19"/>
    </row>
    <row r="12" spans="1:9" ht="18.8" customHeight="1" x14ac:dyDescent="0.3">
      <c r="A12" s="15">
        <f>_xlfn.AGGREGATE(4,7,A$4:A11)+1</f>
        <v>11</v>
      </c>
      <c r="B12" s="16" t="s">
        <v>22</v>
      </c>
      <c r="C12" s="17" t="s">
        <v>23</v>
      </c>
      <c r="D12" s="18">
        <v>5</v>
      </c>
      <c r="E12" s="18">
        <v>9000</v>
      </c>
      <c r="F12" s="10">
        <f t="shared" si="0"/>
        <v>45000</v>
      </c>
    </row>
    <row r="13" spans="1:9" ht="18.8" customHeight="1" x14ac:dyDescent="0.3">
      <c r="A13" s="20"/>
      <c r="B13" s="2" t="s">
        <v>24</v>
      </c>
      <c r="C13" s="21"/>
      <c r="D13" s="20"/>
      <c r="E13" s="20"/>
      <c r="F13" s="22">
        <f>SUBTOTAL(109,F2:F12)</f>
        <v>7972500</v>
      </c>
    </row>
    <row r="14" spans="1:9" ht="16.649999999999999" x14ac:dyDescent="0.3">
      <c r="A14" s="23" t="str">
        <f>"Bằng chữ: "&amp;IF(ABS(F13)&gt;=10^15,"###",IF(F13&lt;0,"Âm ",MID("KMHBBNSBTC",LEFT(ROUND(F13,0))+1,1))&amp;MID(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RIGHT(TEXT(F13,SUBSTITUTE("0\*0\=0\/0\*0;0\*0\=0\/0\*0",0,"0\-0\+0")),LEN(ROUND(ABS(F13),0))*2-1),"0-0+0*",""),"0-0+0/",""),"0-0+0",""),"0+0",""),"0+"," lẻ"),"+0","+"),"+5","+ lăm"),"1+"," mười"),"+1","+ mốt"),"_=","_"),0," không"),1," một"),2," hai"),3," ba"),4," bốn"),5," năm"),6," sáu"),7," bảy"),8," tám"),9," chín"),"+"," mươi"),"-"," trăm"),"*"," ngàn,"),"/"," triệu,"),",=","="),"="," tỷ,")&amp;"  ",",  ","")),2-(F13&lt;0),999))&amp;" đồng./."</f>
        <v>Bằng chữ: Bảy triệu, chín trăm bảy mươi hai ngàn, năm trăm đồng./.</v>
      </c>
      <c r="B14" s="24"/>
      <c r="C14" s="24"/>
      <c r="D14" s="24"/>
      <c r="E14" s="24"/>
      <c r="F14" s="25"/>
    </row>
  </sheetData>
  <mergeCells count="1"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tbl_LCNT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tuan</dc:creator>
  <cp:lastModifiedBy>tran tuan</cp:lastModifiedBy>
  <dcterms:created xsi:type="dcterms:W3CDTF">2026-03-12T04:03:23Z</dcterms:created>
  <dcterms:modified xsi:type="dcterms:W3CDTF">2026-03-12T04:03:57Z</dcterms:modified>
</cp:coreProperties>
</file>